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AV\Backup FAV 27 abril 2026 HP\Carpeta CURSOS\Cursos DPI\Curso Gestion Riegos Ciberseguridad 2026\"/>
    </mc:Choice>
  </mc:AlternateContent>
  <xr:revisionPtr revIDLastSave="0" documentId="13_ncr:1_{51072DBC-E6E4-45D1-97DD-65FB05B8F87B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SxOxD" sheetId="4" r:id="rId1"/>
    <sheet name="evaluación" sheetId="3" r:id="rId2"/>
    <sheet name="AMF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6" i="2" l="1"/>
  <c r="K6" i="2"/>
  <c r="S5" i="2"/>
  <c r="K5" i="2"/>
  <c r="S4" i="2"/>
  <c r="K4" i="2"/>
  <c r="P54" i="3" l="1"/>
  <c r="P46" i="3"/>
  <c r="P47" i="3"/>
  <c r="P48" i="3"/>
  <c r="P49" i="3"/>
  <c r="P50" i="3"/>
  <c r="P51" i="3"/>
  <c r="P52" i="3"/>
  <c r="P53" i="3"/>
  <c r="P4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Luffi</author>
  </authors>
  <commentList>
    <comment ref="L3" authorId="0" shapeId="0" xr:uid="{00000000-0006-0000-0000-000001000000}">
      <text>
        <r>
          <rPr>
            <b/>
            <sz val="22"/>
            <color indexed="81"/>
            <rFont val="Tahoma"/>
            <family val="2"/>
          </rPr>
          <t>SI</t>
        </r>
        <r>
          <rPr>
            <b/>
            <sz val="16"/>
            <color indexed="81"/>
            <rFont val="Tahoma"/>
            <family val="2"/>
          </rPr>
          <t xml:space="preserve">
</t>
        </r>
        <r>
          <rPr>
            <b/>
            <sz val="24"/>
            <color indexed="81"/>
            <rFont val="Tahoma"/>
            <family val="2"/>
          </rPr>
          <t>NO</t>
        </r>
      </text>
    </comment>
    <comment ref="M3" authorId="0" shapeId="0" xr:uid="{00000000-0006-0000-0000-000002000000}">
      <text>
        <r>
          <rPr>
            <b/>
            <sz val="22"/>
            <color indexed="81"/>
            <rFont val="Tahoma"/>
            <family val="2"/>
          </rPr>
          <t>Tipos:
REDUCIR
TRASLADAR
ELIMINAR</t>
        </r>
      </text>
    </comment>
    <comment ref="T3" authorId="0" shapeId="0" xr:uid="{00000000-0006-0000-0000-000003000000}">
      <text>
        <r>
          <rPr>
            <b/>
            <sz val="22"/>
            <color indexed="81"/>
            <rFont val="Tahoma"/>
            <family val="2"/>
          </rPr>
          <t>SI</t>
        </r>
        <r>
          <rPr>
            <b/>
            <sz val="16"/>
            <color indexed="81"/>
            <rFont val="Tahoma"/>
            <family val="2"/>
          </rPr>
          <t xml:space="preserve">
</t>
        </r>
        <r>
          <rPr>
            <b/>
            <sz val="24"/>
            <color indexed="81"/>
            <rFont val="Tahoma"/>
            <family val="2"/>
          </rPr>
          <t>NO</t>
        </r>
      </text>
    </comment>
  </commentList>
</comments>
</file>

<file path=xl/sharedStrings.xml><?xml version="1.0" encoding="utf-8"?>
<sst xmlns="http://schemas.openxmlformats.org/spreadsheetml/2006/main" count="80" uniqueCount="63">
  <si>
    <t>PROCESO</t>
  </si>
  <si>
    <t>ANALISIS DEL CONTEXTO</t>
  </si>
  <si>
    <t>IDENTIFICACION  RIESGO INICIAL</t>
  </si>
  <si>
    <t>CONTROL EXISTENTE</t>
  </si>
  <si>
    <t>ANALISIS DEL RIESGO 
INICIAL</t>
  </si>
  <si>
    <t>EVALUACION DEL RIESGO INICIAL</t>
  </si>
  <si>
    <t>TRATAMIENTO DEL RIESGO</t>
  </si>
  <si>
    <t>ANALISIS DEL RIESGO FINAL</t>
  </si>
  <si>
    <t>EVALUACION DEL RIESGO FINAL</t>
  </si>
  <si>
    <t>ACTIVIDADES</t>
  </si>
  <si>
    <t>QUIENES INTERVIENEN</t>
  </si>
  <si>
    <t>DESCRIPCION</t>
  </si>
  <si>
    <t>SIGNIFICATIVO?</t>
  </si>
  <si>
    <t>TRATAMIENTO</t>
  </si>
  <si>
    <t>CONTROLES PROPUESTOS</t>
  </si>
  <si>
    <t>RESPONSABLE DE LA MEDIDA</t>
  </si>
  <si>
    <t>F</t>
  </si>
  <si>
    <t>S</t>
  </si>
  <si>
    <t>D</t>
  </si>
  <si>
    <t>REDUCIR</t>
  </si>
  <si>
    <t>ALTO</t>
  </si>
  <si>
    <t>BAJO</t>
  </si>
  <si>
    <t>MODERADO</t>
  </si>
  <si>
    <t>CAUSAS QUE FAVORECEN LA MATERIALIZACION DEL RIESGOS</t>
  </si>
  <si>
    <t>MODO DE FALLO</t>
  </si>
  <si>
    <t>EFECTO</t>
  </si>
  <si>
    <t>SEVERIDAD
(S)</t>
  </si>
  <si>
    <t>OCURRENCIA
(O)</t>
  </si>
  <si>
    <t xml:space="preserve">PROBABILIDAD
(D) </t>
  </si>
  <si>
    <t>RPN</t>
  </si>
  <si>
    <t xml:space="preserve">DETECCIÓN
(D) </t>
  </si>
  <si>
    <t>Analisis AMFE
Versión: 01</t>
  </si>
  <si>
    <t>Proceso de Backup</t>
  </si>
  <si>
    <t>Perdida parcial o total de información</t>
  </si>
  <si>
    <t>Error de etiquetado</t>
  </si>
  <si>
    <t>Error de selección de cinta</t>
  </si>
  <si>
    <t>- Adm. Base de Datos
- Tecnico de soporte</t>
  </si>
  <si>
    <t xml:space="preserve">
Procedimiento de verificación visual de etiqueta de cinta</t>
  </si>
  <si>
    <t>Seleccionar cintas usadas para reciclar</t>
  </si>
  <si>
    <t>-Técnico de Backup
- Adm. Base de Datos</t>
  </si>
  <si>
    <t>Transferencia de equipos informáticos</t>
  </si>
  <si>
    <t>Formatear disco</t>
  </si>
  <si>
    <t>No hacer copia de respaldo de disco duro</t>
  </si>
  <si>
    <t>Pérdida de información</t>
  </si>
  <si>
    <t>Incumplimiento de Procedimiento
Falta de supervisión</t>
  </si>
  <si>
    <t>- Jefe Soporte Técnico
- Técnico</t>
  </si>
  <si>
    <t>- Verificación de Correo con Orden de preparación de equipo a reasignar
- Procedimiento de transferencia de equipos</t>
  </si>
  <si>
    <t>Uso de check list</t>
  </si>
  <si>
    <t>RPN = S x O x D</t>
  </si>
  <si>
    <t>ANALISIS  AMFE</t>
  </si>
  <si>
    <t>S: SEVERIDAD</t>
  </si>
  <si>
    <t>Del  1 al 10</t>
  </si>
  <si>
    <t>O: OCURRENCIA</t>
  </si>
  <si>
    <t>D: DETECCION</t>
  </si>
  <si>
    <t>Validación redundante de cinta a reciclar</t>
  </si>
  <si>
    <t>Migración de servidor</t>
  </si>
  <si>
    <t>Administrador de servidores</t>
  </si>
  <si>
    <t>Migración parcial de información</t>
  </si>
  <si>
    <t>Incumplimiento de procedimiento de Migración</t>
  </si>
  <si>
    <t>Ejecutar la migración</t>
  </si>
  <si>
    <t>- Se desarrolla Plan de Migración
- Inventario de información a migrar</t>
  </si>
  <si>
    <t>Realizar pruebas de migración y validar integridad de datos</t>
  </si>
  <si>
    <t>Administrador de servidores
CISO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</si>
</sst>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22"/>
      <color indexed="81"/>
      <name val="Tahoma"/>
      <family val="2"/>
    </font>
    <font>
      <b/>
      <sz val="16"/>
      <color indexed="81"/>
      <name val="Tahoma"/>
      <family val="2"/>
    </font>
    <font>
      <b/>
      <sz val="24"/>
      <color indexed="81"/>
      <name val="Tahoma"/>
      <family val="2"/>
    </font>
    <font>
      <b/>
      <sz val="11"/>
      <name val="Calibri"/>
      <family val="2"/>
      <scheme val="minor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indexed="8"/>
      <name val="Arial"/>
      <family val="2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3" borderId="0" xfId="0" applyFill="1"/>
    <xf numFmtId="0" fontId="0" fillId="0" borderId="0" xfId="0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  <xf numFmtId="0" fontId="12" fillId="3" borderId="3" xfId="0" quotePrefix="1" applyFont="1" applyFill="1" applyBorder="1" applyAlignment="1">
      <alignment horizontal="center" vertical="center" wrapText="1"/>
    </xf>
    <xf numFmtId="0" fontId="13" fillId="3" borderId="3" xfId="0" quotePrefix="1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textRotation="90" wrapText="1"/>
    </xf>
    <xf numFmtId="0" fontId="12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top" wrapText="1"/>
    </xf>
    <xf numFmtId="0" fontId="3" fillId="0" borderId="0" xfId="0" applyFont="1"/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textRotation="90" wrapText="1"/>
    </xf>
    <xf numFmtId="0" fontId="16" fillId="3" borderId="0" xfId="0" applyFont="1" applyFill="1"/>
    <xf numFmtId="0" fontId="17" fillId="3" borderId="0" xfId="0" applyFont="1" applyFill="1"/>
    <xf numFmtId="0" fontId="10" fillId="8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textRotation="90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514349</xdr:colOff>
      <xdr:row>0</xdr:row>
      <xdr:rowOff>0</xdr:rowOff>
    </xdr:from>
    <xdr:to>
      <xdr:col>18</xdr:col>
      <xdr:colOff>275432</xdr:colOff>
      <xdr:row>18</xdr:row>
      <xdr:rowOff>102865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8349" y="0"/>
          <a:ext cx="5857083" cy="35318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8</xdr:col>
      <xdr:colOff>351619</xdr:colOff>
      <xdr:row>40</xdr:row>
      <xdr:rowOff>142357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6447619" cy="41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57150</xdr:rowOff>
    </xdr:from>
    <xdr:to>
      <xdr:col>7</xdr:col>
      <xdr:colOff>288243</xdr:colOff>
      <xdr:row>58</xdr:row>
      <xdr:rowOff>66183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67650"/>
          <a:ext cx="5622243" cy="3247533"/>
        </a:xfrm>
        <a:prstGeom prst="rect">
          <a:avLst/>
        </a:prstGeom>
      </xdr:spPr>
    </xdr:pic>
    <xdr:clientData/>
  </xdr:twoCellAnchor>
  <xdr:twoCellAnchor editAs="oneCell">
    <xdr:from>
      <xdr:col>0</xdr:col>
      <xdr:colOff>196850</xdr:colOff>
      <xdr:row>0</xdr:row>
      <xdr:rowOff>76200</xdr:rowOff>
    </xdr:from>
    <xdr:to>
      <xdr:col>7</xdr:col>
      <xdr:colOff>107950</xdr:colOff>
      <xdr:row>17</xdr:row>
      <xdr:rowOff>171408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86F2CA-04CB-41AF-BE61-8F6195B40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6850" y="76200"/>
          <a:ext cx="5245100" cy="3225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3515-A4AD-43CA-849A-7B1D9BB31691}">
  <dimension ref="B1:E8"/>
  <sheetViews>
    <sheetView zoomScale="130" zoomScaleNormal="130" workbookViewId="0">
      <selection activeCell="F10" sqref="F10"/>
    </sheetView>
  </sheetViews>
  <sheetFormatPr baseColWidth="10" defaultColWidth="10.87890625" defaultRowHeight="14.35" x14ac:dyDescent="0.5"/>
  <cols>
    <col min="1" max="16384" width="10.87890625" style="6"/>
  </cols>
  <sheetData>
    <row r="1" spans="2:5" ht="28.35" x14ac:dyDescent="0.95">
      <c r="B1" s="33" t="s">
        <v>49</v>
      </c>
      <c r="C1" s="33"/>
      <c r="D1" s="33"/>
    </row>
    <row r="4" spans="2:5" ht="36" x14ac:dyDescent="1.2">
      <c r="B4" s="34" t="s">
        <v>48</v>
      </c>
    </row>
    <row r="6" spans="2:5" x14ac:dyDescent="0.5">
      <c r="C6" s="6" t="s">
        <v>50</v>
      </c>
      <c r="E6" s="6" t="s">
        <v>51</v>
      </c>
    </row>
    <row r="7" spans="2:5" x14ac:dyDescent="0.5">
      <c r="C7" s="6" t="s">
        <v>52</v>
      </c>
      <c r="E7" s="6" t="s">
        <v>51</v>
      </c>
    </row>
    <row r="8" spans="2:5" x14ac:dyDescent="0.5">
      <c r="C8" s="6" t="s">
        <v>53</v>
      </c>
      <c r="E8" s="6" t="s">
        <v>51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4:R54"/>
  <sheetViews>
    <sheetView zoomScale="120" zoomScaleNormal="120" workbookViewId="0">
      <selection activeCell="H19" sqref="A18:H19"/>
    </sheetView>
  </sheetViews>
  <sheetFormatPr baseColWidth="10" defaultRowHeight="14.35" x14ac:dyDescent="0.5"/>
  <cols>
    <col min="13" max="15" width="0" hidden="1" customWidth="1"/>
  </cols>
  <sheetData>
    <row r="44" spans="2:18" x14ac:dyDescent="0.5">
      <c r="B44">
        <v>10</v>
      </c>
      <c r="J44" t="s">
        <v>17</v>
      </c>
      <c r="K44" t="s">
        <v>16</v>
      </c>
      <c r="L44" t="s">
        <v>18</v>
      </c>
    </row>
    <row r="45" spans="2:18" x14ac:dyDescent="0.5">
      <c r="I45">
        <v>10</v>
      </c>
      <c r="J45" s="51" t="s">
        <v>20</v>
      </c>
      <c r="K45" s="51"/>
      <c r="L45" s="51"/>
      <c r="M45">
        <v>10</v>
      </c>
      <c r="N45">
        <v>10</v>
      </c>
      <c r="O45">
        <v>10</v>
      </c>
      <c r="P45" s="7">
        <f>M45*N45*O45</f>
        <v>1000</v>
      </c>
    </row>
    <row r="46" spans="2:18" x14ac:dyDescent="0.5">
      <c r="I46">
        <v>9</v>
      </c>
      <c r="J46" s="51"/>
      <c r="K46" s="51"/>
      <c r="L46" s="51"/>
      <c r="M46">
        <v>9</v>
      </c>
      <c r="N46">
        <v>9</v>
      </c>
      <c r="O46">
        <v>9</v>
      </c>
      <c r="P46" s="7">
        <f t="shared" ref="P46:P54" si="0">M46*N46*O46</f>
        <v>729</v>
      </c>
      <c r="Q46">
        <v>343</v>
      </c>
      <c r="R46">
        <v>1000</v>
      </c>
    </row>
    <row r="47" spans="2:18" x14ac:dyDescent="0.5">
      <c r="I47">
        <v>8</v>
      </c>
      <c r="J47" s="51"/>
      <c r="K47" s="51"/>
      <c r="L47" s="51"/>
      <c r="M47">
        <v>8</v>
      </c>
      <c r="N47">
        <v>8</v>
      </c>
      <c r="O47">
        <v>8</v>
      </c>
      <c r="P47" s="7">
        <f t="shared" si="0"/>
        <v>512</v>
      </c>
    </row>
    <row r="48" spans="2:18" x14ac:dyDescent="0.5">
      <c r="I48">
        <v>7</v>
      </c>
      <c r="J48" s="51"/>
      <c r="K48" s="51"/>
      <c r="L48" s="51"/>
      <c r="M48">
        <v>7</v>
      </c>
      <c r="N48">
        <v>7</v>
      </c>
      <c r="O48">
        <v>7</v>
      </c>
      <c r="P48" s="7">
        <f t="shared" si="0"/>
        <v>343</v>
      </c>
    </row>
    <row r="49" spans="9:18" x14ac:dyDescent="0.5">
      <c r="I49">
        <v>6</v>
      </c>
      <c r="J49" s="50" t="s">
        <v>22</v>
      </c>
      <c r="K49" s="50"/>
      <c r="L49" s="50"/>
      <c r="M49">
        <v>6</v>
      </c>
      <c r="N49">
        <v>6</v>
      </c>
      <c r="O49">
        <v>6</v>
      </c>
      <c r="P49" s="7">
        <f t="shared" si="0"/>
        <v>216</v>
      </c>
      <c r="Q49">
        <v>125</v>
      </c>
      <c r="R49">
        <v>342</v>
      </c>
    </row>
    <row r="50" spans="9:18" x14ac:dyDescent="0.5">
      <c r="I50">
        <v>5</v>
      </c>
      <c r="J50" s="50"/>
      <c r="K50" s="50"/>
      <c r="L50" s="50"/>
      <c r="M50">
        <v>5</v>
      </c>
      <c r="N50">
        <v>5</v>
      </c>
      <c r="O50">
        <v>5</v>
      </c>
      <c r="P50" s="7">
        <f t="shared" si="0"/>
        <v>125</v>
      </c>
    </row>
    <row r="51" spans="9:18" x14ac:dyDescent="0.5">
      <c r="I51">
        <v>4</v>
      </c>
      <c r="J51" s="50"/>
      <c r="K51" s="50"/>
      <c r="L51" s="50"/>
      <c r="M51">
        <v>4</v>
      </c>
      <c r="N51">
        <v>4</v>
      </c>
      <c r="O51">
        <v>4</v>
      </c>
      <c r="P51" s="7">
        <f t="shared" si="0"/>
        <v>64</v>
      </c>
    </row>
    <row r="52" spans="9:18" x14ac:dyDescent="0.5">
      <c r="I52">
        <v>3</v>
      </c>
      <c r="J52" s="49" t="s">
        <v>21</v>
      </c>
      <c r="K52" s="49"/>
      <c r="L52" s="49"/>
      <c r="M52">
        <v>3</v>
      </c>
      <c r="N52">
        <v>3</v>
      </c>
      <c r="O52">
        <v>3</v>
      </c>
      <c r="P52" s="7">
        <f t="shared" si="0"/>
        <v>27</v>
      </c>
    </row>
    <row r="53" spans="9:18" x14ac:dyDescent="0.5">
      <c r="I53">
        <v>2</v>
      </c>
      <c r="J53" s="49"/>
      <c r="K53" s="49"/>
      <c r="L53" s="49"/>
      <c r="M53">
        <v>2</v>
      </c>
      <c r="N53">
        <v>2</v>
      </c>
      <c r="O53">
        <v>2</v>
      </c>
      <c r="P53" s="7">
        <f t="shared" si="0"/>
        <v>8</v>
      </c>
      <c r="Q53">
        <v>1</v>
      </c>
      <c r="R53">
        <v>124</v>
      </c>
    </row>
    <row r="54" spans="9:18" x14ac:dyDescent="0.5">
      <c r="I54">
        <v>1</v>
      </c>
      <c r="J54" s="49"/>
      <c r="K54" s="49"/>
      <c r="L54" s="49"/>
      <c r="M54">
        <v>1</v>
      </c>
      <c r="N54">
        <v>1</v>
      </c>
      <c r="O54">
        <v>1</v>
      </c>
      <c r="P54" s="7">
        <f t="shared" si="0"/>
        <v>1</v>
      </c>
    </row>
  </sheetData>
  <mergeCells count="3">
    <mergeCell ref="J52:L54"/>
    <mergeCell ref="J49:L51"/>
    <mergeCell ref="J45:L4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showGridLines="0" tabSelected="1" zoomScale="70" zoomScaleNormal="70" workbookViewId="0">
      <pane ySplit="3" topLeftCell="A4" activePane="bottomLeft" state="frozen"/>
      <selection pane="bottomLeft" activeCell="G4" sqref="G4"/>
    </sheetView>
  </sheetViews>
  <sheetFormatPr baseColWidth="10" defaultRowHeight="14.35" x14ac:dyDescent="0.5"/>
  <cols>
    <col min="1" max="1" width="13.703125" customWidth="1"/>
    <col min="2" max="2" width="16.703125" customWidth="1"/>
    <col min="3" max="3" width="15.17578125" customWidth="1"/>
    <col min="4" max="4" width="15.46875" customWidth="1"/>
    <col min="5" max="5" width="14.8203125" customWidth="1"/>
    <col min="6" max="6" width="36" customWidth="1"/>
    <col min="7" max="7" width="40.703125" customWidth="1"/>
    <col min="8" max="8" width="12.703125" bestFit="1" customWidth="1"/>
    <col min="9" max="9" width="13.52734375" style="4" customWidth="1"/>
    <col min="10" max="10" width="10" bestFit="1" customWidth="1"/>
    <col min="11" max="11" width="10.29296875" style="5" bestFit="1" customWidth="1"/>
    <col min="12" max="12" width="20.8203125" bestFit="1" customWidth="1"/>
    <col min="13" max="13" width="13.8203125" customWidth="1"/>
    <col min="14" max="14" width="30.52734375" customWidth="1"/>
    <col min="15" max="15" width="17.52734375" customWidth="1"/>
    <col min="16" max="16" width="12.703125" bestFit="1" customWidth="1"/>
    <col min="17" max="17" width="12.52734375" style="6" bestFit="1" customWidth="1"/>
    <col min="18" max="18" width="12.17578125" style="6" bestFit="1" customWidth="1"/>
    <col min="19" max="19" width="7" style="6" bestFit="1" customWidth="1"/>
    <col min="20" max="20" width="19.46875" style="6" customWidth="1"/>
  </cols>
  <sheetData>
    <row r="1" spans="1:23" ht="54" customHeight="1" x14ac:dyDescent="0.5">
      <c r="A1" s="36" t="s">
        <v>31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3" s="1" customFormat="1" ht="55" customHeight="1" x14ac:dyDescent="0.4">
      <c r="A2" s="38" t="s">
        <v>0</v>
      </c>
      <c r="B2" s="39" t="s">
        <v>1</v>
      </c>
      <c r="C2" s="40"/>
      <c r="D2" s="39" t="s">
        <v>2</v>
      </c>
      <c r="E2" s="41"/>
      <c r="F2" s="40"/>
      <c r="G2" s="8" t="s">
        <v>3</v>
      </c>
      <c r="H2" s="39" t="s">
        <v>4</v>
      </c>
      <c r="I2" s="41"/>
      <c r="J2" s="41"/>
      <c r="K2" s="40"/>
      <c r="L2" s="9" t="s">
        <v>5</v>
      </c>
      <c r="M2" s="42" t="s">
        <v>6</v>
      </c>
      <c r="N2" s="42"/>
      <c r="O2" s="42"/>
      <c r="P2" s="43" t="s">
        <v>7</v>
      </c>
      <c r="Q2" s="44"/>
      <c r="R2" s="44"/>
      <c r="S2" s="45"/>
      <c r="T2" s="35" t="s">
        <v>8</v>
      </c>
    </row>
    <row r="3" spans="1:23" s="2" customFormat="1" ht="60.75" customHeight="1" x14ac:dyDescent="0.4">
      <c r="A3" s="38"/>
      <c r="B3" s="9" t="s">
        <v>9</v>
      </c>
      <c r="C3" s="9" t="s">
        <v>10</v>
      </c>
      <c r="D3" s="9" t="s">
        <v>24</v>
      </c>
      <c r="E3" s="9" t="s">
        <v>25</v>
      </c>
      <c r="F3" s="9" t="s">
        <v>23</v>
      </c>
      <c r="G3" s="9" t="s">
        <v>11</v>
      </c>
      <c r="H3" s="9" t="s">
        <v>26</v>
      </c>
      <c r="I3" s="9" t="s">
        <v>27</v>
      </c>
      <c r="J3" s="9" t="s">
        <v>30</v>
      </c>
      <c r="K3" s="9" t="s">
        <v>29</v>
      </c>
      <c r="L3" s="9" t="s">
        <v>12</v>
      </c>
      <c r="M3" s="35" t="s">
        <v>13</v>
      </c>
      <c r="N3" s="35" t="s">
        <v>14</v>
      </c>
      <c r="O3" s="35" t="s">
        <v>15</v>
      </c>
      <c r="P3" s="35" t="s">
        <v>26</v>
      </c>
      <c r="Q3" s="35" t="s">
        <v>27</v>
      </c>
      <c r="R3" s="35" t="s">
        <v>28</v>
      </c>
      <c r="S3" s="35" t="s">
        <v>29</v>
      </c>
      <c r="T3" s="35" t="s">
        <v>12</v>
      </c>
      <c r="W3" s="3" t="s">
        <v>19</v>
      </c>
    </row>
    <row r="4" spans="1:23" s="2" customFormat="1" ht="105.5" customHeight="1" x14ac:dyDescent="0.4">
      <c r="A4" s="18" t="s">
        <v>32</v>
      </c>
      <c r="B4" s="10" t="s">
        <v>38</v>
      </c>
      <c r="C4" s="20" t="s">
        <v>36</v>
      </c>
      <c r="D4" s="10" t="s">
        <v>35</v>
      </c>
      <c r="E4" s="11" t="s">
        <v>33</v>
      </c>
      <c r="F4" s="12" t="s">
        <v>34</v>
      </c>
      <c r="G4" s="13" t="s">
        <v>37</v>
      </c>
      <c r="H4" s="10">
        <v>9</v>
      </c>
      <c r="I4" s="10">
        <v>6</v>
      </c>
      <c r="J4" s="10">
        <v>8</v>
      </c>
      <c r="K4" s="10">
        <f>+IF(OR(H4="",I4="",J4=""),"",H4*I4*J4)</f>
        <v>432</v>
      </c>
      <c r="L4" s="14" t="s">
        <v>20</v>
      </c>
      <c r="M4" s="10" t="s">
        <v>19</v>
      </c>
      <c r="N4" s="13" t="s">
        <v>54</v>
      </c>
      <c r="O4" s="20" t="s">
        <v>39</v>
      </c>
      <c r="P4" s="10">
        <v>9</v>
      </c>
      <c r="Q4" s="10">
        <v>3</v>
      </c>
      <c r="R4" s="10">
        <v>5</v>
      </c>
      <c r="S4" s="10">
        <f>+IF(OR(P4="",Q4="",R4=""),"",P4*Q4*R4)</f>
        <v>135</v>
      </c>
      <c r="T4" s="15" t="s">
        <v>22</v>
      </c>
      <c r="W4" s="3"/>
    </row>
    <row r="5" spans="1:23" s="2" customFormat="1" ht="104" customHeight="1" x14ac:dyDescent="0.4">
      <c r="A5" s="18" t="s">
        <v>40</v>
      </c>
      <c r="B5" s="10" t="s">
        <v>41</v>
      </c>
      <c r="C5" s="20" t="s">
        <v>45</v>
      </c>
      <c r="D5" s="10" t="s">
        <v>42</v>
      </c>
      <c r="E5" s="11" t="s">
        <v>43</v>
      </c>
      <c r="F5" s="12" t="s">
        <v>44</v>
      </c>
      <c r="G5" s="21" t="s">
        <v>46</v>
      </c>
      <c r="H5" s="10">
        <v>7</v>
      </c>
      <c r="I5" s="10">
        <v>5</v>
      </c>
      <c r="J5" s="10">
        <v>5</v>
      </c>
      <c r="K5" s="10">
        <f>+IF(OR(H5="",I5="",J5=""),"",H5*I5*J5)</f>
        <v>175</v>
      </c>
      <c r="L5" s="15" t="s">
        <v>22</v>
      </c>
      <c r="M5" s="10" t="s">
        <v>19</v>
      </c>
      <c r="N5" s="13" t="s">
        <v>47</v>
      </c>
      <c r="O5" s="20" t="s">
        <v>45</v>
      </c>
      <c r="P5" s="10">
        <v>7</v>
      </c>
      <c r="Q5" s="10">
        <v>2</v>
      </c>
      <c r="R5" s="10">
        <v>3</v>
      </c>
      <c r="S5" s="10">
        <f>+IF(OR(P5="",Q5="",R5=""),"",P5*Q5*R5)</f>
        <v>42</v>
      </c>
      <c r="T5" s="17" t="s">
        <v>21</v>
      </c>
      <c r="W5" s="3"/>
    </row>
    <row r="6" spans="1:23" s="2" customFormat="1" ht="104" customHeight="1" x14ac:dyDescent="0.4">
      <c r="A6" s="18" t="s">
        <v>55</v>
      </c>
      <c r="B6" s="10" t="s">
        <v>59</v>
      </c>
      <c r="C6" s="20" t="s">
        <v>56</v>
      </c>
      <c r="D6" s="10" t="s">
        <v>57</v>
      </c>
      <c r="E6" s="11" t="s">
        <v>43</v>
      </c>
      <c r="F6" s="12" t="s">
        <v>58</v>
      </c>
      <c r="G6" s="21" t="s">
        <v>60</v>
      </c>
      <c r="H6" s="10">
        <v>9</v>
      </c>
      <c r="I6" s="10">
        <v>7</v>
      </c>
      <c r="J6" s="10">
        <v>6</v>
      </c>
      <c r="K6" s="10">
        <f>+IF(OR(H6="",I6="",J6=""),"",H6*I6*J6)</f>
        <v>378</v>
      </c>
      <c r="L6" s="14" t="s">
        <v>20</v>
      </c>
      <c r="M6" s="10" t="s">
        <v>19</v>
      </c>
      <c r="N6" s="13" t="s">
        <v>61</v>
      </c>
      <c r="O6" s="20" t="s">
        <v>62</v>
      </c>
      <c r="P6" s="10">
        <v>9</v>
      </c>
      <c r="Q6" s="10">
        <v>4</v>
      </c>
      <c r="R6" s="10">
        <v>3</v>
      </c>
      <c r="S6" s="10">
        <f>+IF(OR(P6="",Q6="",R6=""),"",P6*Q6*R6)</f>
        <v>108</v>
      </c>
      <c r="T6" s="15" t="s">
        <v>22</v>
      </c>
      <c r="W6" s="3"/>
    </row>
    <row r="7" spans="1:23" s="28" customFormat="1" ht="53.5" customHeight="1" x14ac:dyDescent="0.4">
      <c r="A7" s="46"/>
      <c r="B7" s="16"/>
      <c r="C7" s="24"/>
      <c r="D7" s="24"/>
      <c r="E7" s="25"/>
      <c r="F7" s="27"/>
      <c r="G7" s="25"/>
      <c r="H7" s="16"/>
      <c r="I7" s="16"/>
      <c r="J7" s="16"/>
      <c r="K7" s="16"/>
      <c r="L7" s="26"/>
      <c r="M7" s="16"/>
      <c r="N7" s="24"/>
      <c r="O7" s="16"/>
      <c r="P7" s="16"/>
      <c r="Q7" s="16"/>
      <c r="R7" s="16"/>
      <c r="S7" s="16"/>
      <c r="T7" s="26"/>
      <c r="W7" s="19"/>
    </row>
    <row r="8" spans="1:23" s="28" customFormat="1" ht="53.5" customHeight="1" x14ac:dyDescent="0.4">
      <c r="A8" s="46"/>
      <c r="B8" s="16"/>
      <c r="C8" s="16"/>
      <c r="D8" s="16"/>
      <c r="E8" s="23"/>
      <c r="F8" s="29"/>
      <c r="G8" s="25"/>
      <c r="H8" s="16"/>
      <c r="I8" s="16"/>
      <c r="J8" s="16"/>
      <c r="K8" s="16"/>
      <c r="L8" s="26"/>
      <c r="M8" s="16"/>
      <c r="N8" s="24"/>
      <c r="O8" s="16"/>
      <c r="P8" s="16"/>
      <c r="Q8" s="16"/>
      <c r="R8" s="16"/>
      <c r="S8" s="16"/>
      <c r="T8" s="26"/>
      <c r="W8" s="19"/>
    </row>
    <row r="9" spans="1:23" s="28" customFormat="1" ht="53.5" customHeight="1" x14ac:dyDescent="0.4">
      <c r="A9" s="46"/>
      <c r="B9" s="16"/>
      <c r="C9" s="24"/>
      <c r="D9" s="16"/>
      <c r="E9" s="23"/>
      <c r="F9" s="24"/>
      <c r="G9" s="30"/>
      <c r="H9" s="16"/>
      <c r="I9" s="16"/>
      <c r="J9" s="16"/>
      <c r="K9" s="16"/>
      <c r="L9" s="26"/>
      <c r="M9" s="16"/>
      <c r="N9" s="25"/>
      <c r="O9" s="16"/>
      <c r="P9" s="16"/>
      <c r="Q9" s="16"/>
      <c r="R9" s="16"/>
      <c r="S9" s="16"/>
      <c r="T9" s="26"/>
    </row>
    <row r="10" spans="1:23" s="28" customFormat="1" ht="53.5" customHeight="1" x14ac:dyDescent="0.4">
      <c r="A10" s="46"/>
      <c r="B10" s="16"/>
      <c r="C10" s="16"/>
      <c r="D10" s="16"/>
      <c r="E10" s="16"/>
      <c r="F10" s="29"/>
      <c r="G10" s="25"/>
      <c r="H10" s="16"/>
      <c r="I10" s="16"/>
      <c r="J10" s="16"/>
      <c r="K10" s="16"/>
      <c r="L10" s="26"/>
      <c r="M10" s="16"/>
      <c r="N10" s="25"/>
      <c r="O10" s="16"/>
      <c r="P10" s="16"/>
      <c r="Q10" s="16"/>
      <c r="R10" s="16"/>
      <c r="S10" s="16"/>
      <c r="T10" s="26"/>
    </row>
    <row r="11" spans="1:23" s="28" customFormat="1" ht="53.5" customHeight="1" x14ac:dyDescent="0.4">
      <c r="A11" s="22"/>
      <c r="B11" s="16"/>
      <c r="C11" s="16"/>
      <c r="D11" s="16"/>
      <c r="E11" s="23"/>
      <c r="F11" s="29"/>
      <c r="G11" s="25"/>
      <c r="H11" s="16"/>
      <c r="I11" s="16"/>
      <c r="J11" s="16"/>
      <c r="K11" s="16"/>
      <c r="L11" s="26"/>
      <c r="M11" s="31"/>
      <c r="N11" s="25"/>
      <c r="O11" s="16"/>
      <c r="P11" s="16"/>
      <c r="Q11" s="16"/>
      <c r="R11" s="16"/>
      <c r="S11" s="16"/>
      <c r="T11" s="26"/>
    </row>
    <row r="12" spans="1:23" s="28" customFormat="1" ht="53.5" customHeight="1" x14ac:dyDescent="0.4">
      <c r="A12" s="46"/>
      <c r="B12" s="47"/>
      <c r="C12" s="47"/>
      <c r="D12" s="16"/>
      <c r="E12" s="16"/>
      <c r="F12" s="29"/>
      <c r="G12" s="23"/>
      <c r="H12" s="24"/>
      <c r="I12" s="16"/>
      <c r="J12" s="16"/>
      <c r="K12" s="16"/>
      <c r="L12" s="26"/>
      <c r="M12" s="16"/>
      <c r="N12" s="24"/>
      <c r="O12" s="16"/>
      <c r="P12" s="24"/>
      <c r="Q12" s="16"/>
      <c r="R12" s="16"/>
      <c r="S12" s="16"/>
      <c r="T12" s="26"/>
    </row>
    <row r="13" spans="1:23" s="28" customFormat="1" ht="53.5" customHeight="1" x14ac:dyDescent="0.4">
      <c r="A13" s="46"/>
      <c r="B13" s="48"/>
      <c r="C13" s="48"/>
      <c r="D13" s="16"/>
      <c r="E13" s="23"/>
      <c r="F13" s="24"/>
      <c r="G13" s="25"/>
      <c r="H13" s="24"/>
      <c r="I13" s="16"/>
      <c r="J13" s="16"/>
      <c r="K13" s="16"/>
      <c r="L13" s="26"/>
      <c r="M13" s="16"/>
      <c r="N13" s="24"/>
      <c r="O13" s="16"/>
      <c r="P13" s="24"/>
      <c r="Q13" s="16"/>
      <c r="R13" s="16"/>
      <c r="S13" s="16"/>
      <c r="T13" s="26"/>
    </row>
    <row r="14" spans="1:23" s="28" customFormat="1" ht="53.5" customHeight="1" x14ac:dyDescent="0.4">
      <c r="A14" s="46"/>
      <c r="B14" s="24"/>
      <c r="C14" s="16"/>
      <c r="D14" s="16"/>
      <c r="E14" s="23"/>
      <c r="F14" s="29"/>
      <c r="G14" s="30"/>
      <c r="H14" s="24"/>
      <c r="I14" s="16"/>
      <c r="J14" s="24"/>
      <c r="K14" s="16"/>
      <c r="L14" s="26"/>
      <c r="M14" s="16"/>
      <c r="N14" s="24"/>
      <c r="O14" s="16"/>
      <c r="P14" s="24"/>
      <c r="Q14" s="16"/>
      <c r="R14" s="24"/>
      <c r="S14" s="16"/>
      <c r="T14" s="26"/>
    </row>
    <row r="15" spans="1:23" s="28" customFormat="1" ht="53.5" customHeight="1" x14ac:dyDescent="0.4">
      <c r="A15" s="22"/>
      <c r="B15" s="16"/>
      <c r="C15" s="16"/>
      <c r="D15" s="16"/>
      <c r="E15" s="23"/>
      <c r="F15" s="29"/>
      <c r="G15" s="25"/>
      <c r="H15" s="24"/>
      <c r="I15" s="16"/>
      <c r="J15" s="24"/>
      <c r="K15" s="16"/>
      <c r="L15" s="26"/>
      <c r="M15" s="16"/>
      <c r="N15" s="24"/>
      <c r="O15" s="16"/>
      <c r="P15" s="24"/>
      <c r="Q15" s="16"/>
      <c r="R15" s="24"/>
      <c r="S15" s="16"/>
      <c r="T15" s="26"/>
    </row>
    <row r="16" spans="1:23" s="28" customFormat="1" ht="53.5" customHeight="1" x14ac:dyDescent="0.4">
      <c r="A16" s="22"/>
      <c r="B16" s="16"/>
      <c r="C16" s="16"/>
      <c r="D16" s="16"/>
      <c r="E16" s="23"/>
      <c r="F16" s="29"/>
      <c r="G16" s="29"/>
      <c r="H16" s="24"/>
      <c r="I16" s="16"/>
      <c r="J16" s="24"/>
      <c r="K16" s="16"/>
      <c r="L16" s="26"/>
      <c r="M16" s="16"/>
      <c r="N16" s="24"/>
      <c r="O16" s="16"/>
      <c r="P16" s="24"/>
      <c r="Q16" s="16"/>
      <c r="R16" s="24"/>
      <c r="S16" s="16"/>
      <c r="T16" s="26"/>
    </row>
    <row r="17" spans="1:20" ht="53.5" customHeight="1" x14ac:dyDescent="0.5">
      <c r="A17" s="32"/>
      <c r="B17" s="16"/>
      <c r="C17" s="23"/>
      <c r="D17" s="16"/>
      <c r="E17" s="23"/>
      <c r="F17" s="29"/>
      <c r="G17" s="29"/>
      <c r="H17" s="24"/>
      <c r="I17" s="16"/>
      <c r="J17" s="16"/>
      <c r="K17" s="16"/>
      <c r="L17" s="26"/>
      <c r="M17" s="16"/>
      <c r="N17" s="24"/>
      <c r="O17" s="16"/>
      <c r="P17" s="24"/>
      <c r="Q17" s="16"/>
      <c r="R17" s="16"/>
      <c r="S17" s="16"/>
      <c r="T17" s="26"/>
    </row>
    <row r="18" spans="1:20" ht="57.7" customHeight="1" x14ac:dyDescent="0.5"/>
  </sheetData>
  <mergeCells count="12">
    <mergeCell ref="A7:A8"/>
    <mergeCell ref="A9:A10"/>
    <mergeCell ref="A12:A14"/>
    <mergeCell ref="B12:B13"/>
    <mergeCell ref="C12:C13"/>
    <mergeCell ref="A1:T1"/>
    <mergeCell ref="A2:A3"/>
    <mergeCell ref="B2:C2"/>
    <mergeCell ref="D2:F2"/>
    <mergeCell ref="M2:O2"/>
    <mergeCell ref="P2:S2"/>
    <mergeCell ref="H2:K2"/>
  </mergeCells>
  <conditionalFormatting sqref="L4:L17">
    <cfRule type="containsText" dxfId="3" priority="3" operator="containsText" text="SI">
      <formula>NOT(ISERROR(SEARCH("SI",L4)))</formula>
    </cfRule>
    <cfRule type="containsText" dxfId="2" priority="4" operator="containsText" text="NO">
      <formula>NOT(ISERROR(SEARCH("NO",L4)))</formula>
    </cfRule>
  </conditionalFormatting>
  <conditionalFormatting sqref="T4:T17">
    <cfRule type="containsText" dxfId="1" priority="1" operator="containsText" text="SI">
      <formula>NOT(ISERROR(SEARCH("SI",T4)))</formula>
    </cfRule>
    <cfRule type="containsText" dxfId="0" priority="2" operator="containsText" text="NO">
      <formula>NOT(ISERROR(SEARCH("NO",T4)))</formula>
    </cfRule>
  </conditionalFormatting>
  <dataValidations count="2">
    <dataValidation type="list" allowBlank="1" showInputMessage="1" showErrorMessage="1" sqref="M7:M17" xr:uid="{00000000-0002-0000-0000-000000000000}">
      <formula1>$W$3:$W$8</formula1>
    </dataValidation>
    <dataValidation type="list" allowBlank="1" showInputMessage="1" showErrorMessage="1" sqref="Q18:R1048576" xr:uid="{00000000-0002-0000-0000-000001000000}"/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SxOxD</vt:lpstr>
      <vt:lpstr>evaluación</vt:lpstr>
      <vt:lpstr>AMFE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Freddy Alvarado</cp:lastModifiedBy>
  <dcterms:created xsi:type="dcterms:W3CDTF">2020-03-07T20:12:58Z</dcterms:created>
  <dcterms:modified xsi:type="dcterms:W3CDTF">2026-06-08T03:31:14Z</dcterms:modified>
</cp:coreProperties>
</file>